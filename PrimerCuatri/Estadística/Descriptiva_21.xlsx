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/>
  <mc:AlternateContent xmlns:mc="http://schemas.openxmlformats.org/markup-compatibility/2006">
    <mc:Choice Requires="x15">
      <x15ac:absPath xmlns:x15ac="http://schemas.microsoft.com/office/spreadsheetml/2010/11/ac" url="E:\Grado_Ingeniería_Informática_2021\Teoría\"/>
    </mc:Choice>
  </mc:AlternateContent>
  <xr:revisionPtr revIDLastSave="0" documentId="13_ncr:1_{5EB311B8-7548-4B03-B9A4-A31D8F849FCA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5" i="1" l="1"/>
  <c r="E44" i="1" s="1"/>
  <c r="H44" i="1"/>
  <c r="G44" i="1"/>
  <c r="H43" i="1"/>
  <c r="G43" i="1"/>
  <c r="H42" i="1"/>
  <c r="G42" i="1"/>
  <c r="H41" i="1"/>
  <c r="G41" i="1"/>
  <c r="H40" i="1"/>
  <c r="G40" i="1"/>
  <c r="H39" i="1"/>
  <c r="G39" i="1"/>
  <c r="H27" i="1"/>
  <c r="G27" i="1"/>
  <c r="D32" i="1"/>
  <c r="E31" i="1" s="1"/>
  <c r="H31" i="1"/>
  <c r="G31" i="1"/>
  <c r="H30" i="1"/>
  <c r="G30" i="1"/>
  <c r="H29" i="1"/>
  <c r="G29" i="1"/>
  <c r="H28" i="1"/>
  <c r="G28" i="1"/>
  <c r="H20" i="1"/>
  <c r="G20" i="1"/>
  <c r="F20" i="1"/>
  <c r="E20" i="1"/>
  <c r="D20" i="1"/>
  <c r="C20" i="1"/>
  <c r="I19" i="1"/>
  <c r="I18" i="1"/>
  <c r="I17" i="1"/>
  <c r="I16" i="1"/>
  <c r="I15" i="1"/>
  <c r="E41" i="1" l="1"/>
  <c r="E39" i="1"/>
  <c r="E43" i="1"/>
  <c r="E42" i="1"/>
  <c r="E40" i="1"/>
  <c r="H45" i="1"/>
  <c r="G53" i="1" s="1"/>
  <c r="G45" i="1"/>
  <c r="D53" i="1" s="1"/>
  <c r="E30" i="1"/>
  <c r="E29" i="1"/>
  <c r="E28" i="1"/>
  <c r="E27" i="1"/>
  <c r="G32" i="1"/>
  <c r="C53" i="1" s="1"/>
  <c r="I20" i="1"/>
  <c r="H32" i="1"/>
  <c r="F53" i="1" s="1"/>
  <c r="M4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14" i="1"/>
  <c r="W27" i="1"/>
  <c r="S32" i="1"/>
  <c r="T28" i="1" s="1"/>
  <c r="W31" i="1"/>
  <c r="V31" i="1"/>
  <c r="W30" i="1"/>
  <c r="V30" i="1"/>
  <c r="W29" i="1"/>
  <c r="V29" i="1"/>
  <c r="W28" i="1"/>
  <c r="V28" i="1"/>
  <c r="V27" i="1"/>
  <c r="W16" i="1"/>
  <c r="W17" i="1"/>
  <c r="W18" i="1"/>
  <c r="W19" i="1"/>
  <c r="W20" i="1"/>
  <c r="W15" i="1"/>
  <c r="V16" i="1"/>
  <c r="V17" i="1"/>
  <c r="V18" i="1"/>
  <c r="V19" i="1"/>
  <c r="V20" i="1"/>
  <c r="V15" i="1"/>
  <c r="S21" i="1"/>
  <c r="T19" i="1" s="1"/>
  <c r="F61" i="1" l="1"/>
  <c r="G61" i="1"/>
  <c r="E45" i="1"/>
  <c r="E32" i="1"/>
  <c r="N44" i="1"/>
  <c r="E53" i="1" s="1"/>
  <c r="E61" i="1" s="1"/>
  <c r="V32" i="1"/>
  <c r="U37" i="1" s="1"/>
  <c r="T29" i="1"/>
  <c r="T15" i="1"/>
  <c r="T20" i="1"/>
  <c r="T27" i="1"/>
  <c r="T31" i="1"/>
  <c r="T30" i="1"/>
  <c r="V21" i="1"/>
  <c r="R37" i="1" s="1"/>
  <c r="W32" i="1"/>
  <c r="V37" i="1" s="1"/>
  <c r="T17" i="1"/>
  <c r="T16" i="1"/>
  <c r="W21" i="1"/>
  <c r="S37" i="1" s="1"/>
  <c r="T18" i="1"/>
  <c r="T21" i="1" l="1"/>
  <c r="T32" i="1"/>
</calcChain>
</file>

<file path=xl/sharedStrings.xml><?xml version="1.0" encoding="utf-8"?>
<sst xmlns="http://schemas.openxmlformats.org/spreadsheetml/2006/main" count="78" uniqueCount="62">
  <si>
    <t>Y/X=54</t>
  </si>
  <si>
    <t>n(Y/X=54)</t>
  </si>
  <si>
    <t>f(Y/X=54)</t>
  </si>
  <si>
    <t>Clases</t>
  </si>
  <si>
    <t>159-161</t>
  </si>
  <si>
    <t>161-163</t>
  </si>
  <si>
    <t>163-165</t>
  </si>
  <si>
    <t>165-167</t>
  </si>
  <si>
    <t>167-169</t>
  </si>
  <si>
    <t>169-171</t>
  </si>
  <si>
    <t>Y*N(Y/X=54)</t>
  </si>
  <si>
    <t>Media Condicionada          Y /X=54</t>
  </si>
  <si>
    <t>Varianza Condicionada          Y /X=54</t>
  </si>
  <si>
    <r>
      <t>Y</t>
    </r>
    <r>
      <rPr>
        <vertAlign val="superscript"/>
        <sz val="11"/>
        <color theme="0"/>
        <rFont val="Calibri"/>
        <family val="2"/>
        <scheme val="minor"/>
      </rPr>
      <t>2</t>
    </r>
    <r>
      <rPr>
        <sz val="11"/>
        <color theme="0"/>
        <rFont val="Calibri"/>
        <family val="2"/>
        <scheme val="minor"/>
      </rPr>
      <t xml:space="preserve"> *N(Y/X=54)</t>
    </r>
  </si>
  <si>
    <t>X/Y=166</t>
  </si>
  <si>
    <t>n(X/Y=166)</t>
  </si>
  <si>
    <t>f(X/Y=166)</t>
  </si>
  <si>
    <t>X*N(X/Y=166)</t>
  </si>
  <si>
    <r>
      <t>X</t>
    </r>
    <r>
      <rPr>
        <vertAlign val="superscript"/>
        <sz val="11"/>
        <color theme="0"/>
        <rFont val="Calibri"/>
        <family val="2"/>
        <scheme val="minor"/>
      </rPr>
      <t>2</t>
    </r>
    <r>
      <rPr>
        <sz val="11"/>
        <color theme="0"/>
        <rFont val="Calibri"/>
        <family val="2"/>
        <scheme val="minor"/>
      </rPr>
      <t xml:space="preserve"> *N(X/Y=166)</t>
    </r>
  </si>
  <si>
    <t>46,5-49,5</t>
  </si>
  <si>
    <t>49,5-52,5</t>
  </si>
  <si>
    <t>52,5-55,5</t>
  </si>
  <si>
    <t>55,5-58,5</t>
  </si>
  <si>
    <t>58,5-61,5</t>
  </si>
  <si>
    <t>X\Y</t>
  </si>
  <si>
    <t>nx</t>
  </si>
  <si>
    <t>ny</t>
  </si>
  <si>
    <t>a10</t>
  </si>
  <si>
    <t>a01</t>
  </si>
  <si>
    <t>a11</t>
  </si>
  <si>
    <t>a20</t>
  </si>
  <si>
    <t>a02</t>
  </si>
  <si>
    <t>X</t>
  </si>
  <si>
    <t>x*nx</t>
  </si>
  <si>
    <t>Y</t>
  </si>
  <si>
    <t>y*ny</t>
  </si>
  <si>
    <t>X*Y*nij</t>
  </si>
  <si>
    <t>x^2*nx</t>
  </si>
  <si>
    <t>Y^2*ny</t>
  </si>
  <si>
    <t>nij</t>
  </si>
  <si>
    <t>m10</t>
  </si>
  <si>
    <t>m01</t>
  </si>
  <si>
    <t>m11</t>
  </si>
  <si>
    <t>m20</t>
  </si>
  <si>
    <t>m02</t>
  </si>
  <si>
    <t>fy</t>
  </si>
  <si>
    <t>Distribución de Frecuencias Marginal de X</t>
  </si>
  <si>
    <t>fx</t>
  </si>
  <si>
    <t>Momentos respecto al origen</t>
  </si>
  <si>
    <t>Covarianza de X e Y</t>
  </si>
  <si>
    <t>Momentos respecto de las medias</t>
  </si>
  <si>
    <t>Distribución de Frecuencias de Y condicionada a X =54</t>
  </si>
  <si>
    <t>5,85-61,5</t>
  </si>
  <si>
    <t>Distribución de Frecuencias de X condicionada a Y =166</t>
  </si>
  <si>
    <t>Media Condicionada          X /Y=166</t>
  </si>
  <si>
    <t>Varianza Condicionada          X /Y=166</t>
  </si>
  <si>
    <t>Media Marginal de Y</t>
  </si>
  <si>
    <t>Media    Marginal de X</t>
  </si>
  <si>
    <t>Varianza Marginal de X</t>
  </si>
  <si>
    <t>Varianza Marginal de Y</t>
  </si>
  <si>
    <t>Distribución de Frecuencias Marginal de Y</t>
  </si>
  <si>
    <t>Tabla de Correlación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</si>
</sst>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32">
    <xf numFmtId="0" fontId="0" fillId="0" borderId="0" xfId="0"/>
    <xf numFmtId="0" fontId="2" fillId="2" borderId="1" xfId="1" applyBorder="1" applyAlignment="1">
      <alignment horizontal="center"/>
    </xf>
    <xf numFmtId="0" fontId="1" fillId="3" borderId="1" xfId="2" applyBorder="1" applyAlignment="1">
      <alignment horizontal="center"/>
    </xf>
    <xf numFmtId="164" fontId="1" fillId="3" borderId="1" xfId="2" applyNumberFormat="1" applyBorder="1" applyAlignment="1">
      <alignment horizontal="center"/>
    </xf>
    <xf numFmtId="165" fontId="1" fillId="3" borderId="1" xfId="2" applyNumberFormat="1" applyBorder="1" applyAlignment="1">
      <alignment horizontal="center"/>
    </xf>
    <xf numFmtId="0" fontId="0" fillId="3" borderId="1" xfId="2" applyFont="1" applyBorder="1" applyAlignment="1">
      <alignment horizontal="center"/>
    </xf>
    <xf numFmtId="1" fontId="1" fillId="3" borderId="1" xfId="2" applyNumberFormat="1" applyBorder="1" applyAlignment="1">
      <alignment horizontal="center"/>
    </xf>
    <xf numFmtId="0" fontId="2" fillId="2" borderId="1" xfId="1" applyBorder="1" applyAlignment="1">
      <alignment horizontal="center" wrapText="1"/>
    </xf>
    <xf numFmtId="0" fontId="1" fillId="3" borderId="1" xfId="2" applyBorder="1"/>
    <xf numFmtId="0" fontId="2" fillId="2" borderId="2" xfId="1" applyBorder="1" applyAlignment="1">
      <alignment horizontal="center"/>
    </xf>
    <xf numFmtId="0" fontId="1" fillId="3" borderId="3" xfId="2" applyBorder="1" applyAlignment="1">
      <alignment horizontal="center"/>
    </xf>
    <xf numFmtId="0" fontId="1" fillId="3" borderId="3" xfId="2" applyBorder="1"/>
    <xf numFmtId="0" fontId="1" fillId="3" borderId="1" xfId="2" applyBorder="1" applyAlignment="1">
      <alignment horizontal="right"/>
    </xf>
    <xf numFmtId="0" fontId="2" fillId="2" borderId="4" xfId="1" applyBorder="1" applyAlignment="1">
      <alignment horizontal="center"/>
    </xf>
    <xf numFmtId="0" fontId="2" fillId="4" borderId="0" xfId="1" applyFill="1" applyBorder="1" applyAlignment="1">
      <alignment horizontal="center"/>
    </xf>
    <xf numFmtId="165" fontId="1" fillId="4" borderId="0" xfId="2" applyNumberFormat="1" applyFill="1" applyBorder="1"/>
    <xf numFmtId="0" fontId="1" fillId="4" borderId="0" xfId="2" applyFill="1" applyBorder="1" applyAlignment="1">
      <alignment horizontal="right"/>
    </xf>
    <xf numFmtId="165" fontId="1" fillId="3" borderId="1" xfId="2" applyNumberFormat="1" applyBorder="1"/>
    <xf numFmtId="0" fontId="1" fillId="4" borderId="0" xfId="2" applyFill="1" applyBorder="1"/>
    <xf numFmtId="165" fontId="1" fillId="3" borderId="1" xfId="2" applyNumberFormat="1" applyBorder="1" applyAlignment="1">
      <alignment horizontal="right"/>
    </xf>
    <xf numFmtId="164" fontId="1" fillId="4" borderId="0" xfId="2" applyNumberFormat="1" applyFill="1" applyBorder="1" applyAlignment="1">
      <alignment horizontal="center"/>
    </xf>
    <xf numFmtId="0" fontId="1" fillId="4" borderId="0" xfId="2" applyFill="1" applyBorder="1" applyAlignment="1">
      <alignment horizontal="center"/>
    </xf>
    <xf numFmtId="0" fontId="0" fillId="4" borderId="0" xfId="0" applyFill="1"/>
    <xf numFmtId="165" fontId="1" fillId="4" borderId="0" xfId="2" applyNumberFormat="1" applyFill="1" applyBorder="1" applyAlignment="1">
      <alignment horizontal="center"/>
    </xf>
    <xf numFmtId="1" fontId="1" fillId="4" borderId="0" xfId="2" applyNumberFormat="1" applyFill="1" applyBorder="1" applyAlignment="1">
      <alignment horizontal="center"/>
    </xf>
    <xf numFmtId="0" fontId="2" fillId="2" borderId="1" xfId="1" applyBorder="1" applyAlignment="1">
      <alignment horizontal="center"/>
    </xf>
    <xf numFmtId="0" fontId="2" fillId="2" borderId="1" xfId="1" applyBorder="1" applyAlignment="1">
      <alignment horizontal="center"/>
    </xf>
    <xf numFmtId="0" fontId="2" fillId="2" borderId="3" xfId="1" applyBorder="1" applyAlignment="1">
      <alignment horizontal="center"/>
    </xf>
    <xf numFmtId="0" fontId="2" fillId="2" borderId="6" xfId="1" applyBorder="1" applyAlignment="1">
      <alignment horizontal="center"/>
    </xf>
    <xf numFmtId="0" fontId="2" fillId="2" borderId="5" xfId="1" applyBorder="1" applyAlignment="1">
      <alignment horizontal="center"/>
    </xf>
    <xf numFmtId="0" fontId="2" fillId="2" borderId="1" xfId="1" applyBorder="1" applyAlignment="1">
      <alignment horizontal="center" vertical="center" wrapText="1"/>
    </xf>
    <xf numFmtId="0" fontId="2" fillId="2" borderId="1" xfId="1" applyBorder="1" applyAlignment="1">
      <alignment horizontal="center" wrapText="1"/>
    </xf>
  </cellXfs>
  <cellStyles count="3">
    <cellStyle name="20% - Énfasis5" xfId="2" builtinId="46"/>
    <cellStyle name="Énfasis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0025371828521443E-2"/>
          <c:y val="2.7777777777777776E-2"/>
          <c:w val="0.90688429571303586"/>
          <c:h val="0.841674686497521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Hoja1!$Q$44</c:f>
              <c:strCache>
                <c:ptCount val="1"/>
                <c:pt idx="0">
                  <c:v>48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Hoja1!$R$43:$W$43</c:f>
              <c:numCache>
                <c:formatCode>General</c:formatCode>
                <c:ptCount val="6"/>
                <c:pt idx="0">
                  <c:v>160</c:v>
                </c:pt>
                <c:pt idx="1">
                  <c:v>162</c:v>
                </c:pt>
                <c:pt idx="2">
                  <c:v>164</c:v>
                </c:pt>
                <c:pt idx="3">
                  <c:v>166</c:v>
                </c:pt>
                <c:pt idx="4">
                  <c:v>168</c:v>
                </c:pt>
                <c:pt idx="5">
                  <c:v>170</c:v>
                </c:pt>
              </c:numCache>
            </c:numRef>
          </c:cat>
          <c:val>
            <c:numRef>
              <c:f>Hoja1!$R$44:$W$44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89-4097-B9D4-C7A2D3A9A207}"/>
            </c:ext>
          </c:extLst>
        </c:ser>
        <c:ser>
          <c:idx val="1"/>
          <c:order val="1"/>
          <c:tx>
            <c:strRef>
              <c:f>Hoja1!$Q$45</c:f>
              <c:strCache>
                <c:ptCount val="1"/>
                <c:pt idx="0">
                  <c:v>51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Hoja1!$R$43:$W$43</c:f>
              <c:numCache>
                <c:formatCode>General</c:formatCode>
                <c:ptCount val="6"/>
                <c:pt idx="0">
                  <c:v>160</c:v>
                </c:pt>
                <c:pt idx="1">
                  <c:v>162</c:v>
                </c:pt>
                <c:pt idx="2">
                  <c:v>164</c:v>
                </c:pt>
                <c:pt idx="3">
                  <c:v>166</c:v>
                </c:pt>
                <c:pt idx="4">
                  <c:v>168</c:v>
                </c:pt>
                <c:pt idx="5">
                  <c:v>170</c:v>
                </c:pt>
              </c:numCache>
            </c:numRef>
          </c:cat>
          <c:val>
            <c:numRef>
              <c:f>Hoja1!$R$45:$W$45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89-4097-B9D4-C7A2D3A9A207}"/>
            </c:ext>
          </c:extLst>
        </c:ser>
        <c:ser>
          <c:idx val="2"/>
          <c:order val="2"/>
          <c:tx>
            <c:strRef>
              <c:f>Hoja1!$Q$46</c:f>
              <c:strCache>
                <c:ptCount val="1"/>
                <c:pt idx="0">
                  <c:v>54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Hoja1!$R$43:$W$43</c:f>
              <c:numCache>
                <c:formatCode>General</c:formatCode>
                <c:ptCount val="6"/>
                <c:pt idx="0">
                  <c:v>160</c:v>
                </c:pt>
                <c:pt idx="1">
                  <c:v>162</c:v>
                </c:pt>
                <c:pt idx="2">
                  <c:v>164</c:v>
                </c:pt>
                <c:pt idx="3">
                  <c:v>166</c:v>
                </c:pt>
                <c:pt idx="4">
                  <c:v>168</c:v>
                </c:pt>
                <c:pt idx="5">
                  <c:v>170</c:v>
                </c:pt>
              </c:numCache>
            </c:numRef>
          </c:cat>
          <c:val>
            <c:numRef>
              <c:f>Hoja1!$R$46:$W$46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8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189-4097-B9D4-C7A2D3A9A207}"/>
            </c:ext>
          </c:extLst>
        </c:ser>
        <c:ser>
          <c:idx val="3"/>
          <c:order val="3"/>
          <c:tx>
            <c:strRef>
              <c:f>Hoja1!$Q$47</c:f>
              <c:strCache>
                <c:ptCount val="1"/>
                <c:pt idx="0">
                  <c:v>57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Hoja1!$R$43:$W$43</c:f>
              <c:numCache>
                <c:formatCode>General</c:formatCode>
                <c:ptCount val="6"/>
                <c:pt idx="0">
                  <c:v>160</c:v>
                </c:pt>
                <c:pt idx="1">
                  <c:v>162</c:v>
                </c:pt>
                <c:pt idx="2">
                  <c:v>164</c:v>
                </c:pt>
                <c:pt idx="3">
                  <c:v>166</c:v>
                </c:pt>
                <c:pt idx="4">
                  <c:v>168</c:v>
                </c:pt>
                <c:pt idx="5">
                  <c:v>170</c:v>
                </c:pt>
              </c:numCache>
            </c:numRef>
          </c:cat>
          <c:val>
            <c:numRef>
              <c:f>Hoja1!$R$47:$W$47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8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89-4097-B9D4-C7A2D3A9A207}"/>
            </c:ext>
          </c:extLst>
        </c:ser>
        <c:ser>
          <c:idx val="4"/>
          <c:order val="4"/>
          <c:tx>
            <c:strRef>
              <c:f>Hoja1!$Q$48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Hoja1!$R$43:$W$43</c:f>
              <c:numCache>
                <c:formatCode>General</c:formatCode>
                <c:ptCount val="6"/>
                <c:pt idx="0">
                  <c:v>160</c:v>
                </c:pt>
                <c:pt idx="1">
                  <c:v>162</c:v>
                </c:pt>
                <c:pt idx="2">
                  <c:v>164</c:v>
                </c:pt>
                <c:pt idx="3">
                  <c:v>166</c:v>
                </c:pt>
                <c:pt idx="4">
                  <c:v>168</c:v>
                </c:pt>
                <c:pt idx="5">
                  <c:v>170</c:v>
                </c:pt>
              </c:numCache>
            </c:numRef>
          </c:cat>
          <c:val>
            <c:numRef>
              <c:f>Hoja1!$R$48:$W$48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189-4097-B9D4-C7A2D3A9A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35525536"/>
        <c:axId val="2122034928"/>
        <c:axId val="1978632576"/>
      </c:bar3DChart>
      <c:catAx>
        <c:axId val="203552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2034928"/>
        <c:crosses val="autoZero"/>
        <c:auto val="1"/>
        <c:lblAlgn val="ctr"/>
        <c:lblOffset val="100"/>
        <c:noMultiLvlLbl val="0"/>
      </c:catAx>
      <c:valAx>
        <c:axId val="21220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35525536"/>
        <c:crosses val="autoZero"/>
        <c:crossBetween val="between"/>
      </c:valAx>
      <c:serAx>
        <c:axId val="1978632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22034928"/>
        <c:crosses val="autoZero"/>
        <c:tickLblSkip val="1"/>
      </c:ser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761999</xdr:colOff>
      <xdr:row>2</xdr:row>
      <xdr:rowOff>180974</xdr:rowOff>
    </xdr:from>
    <xdr:to>
      <xdr:col>22</xdr:col>
      <xdr:colOff>381000</xdr:colOff>
      <xdr:row>7</xdr:row>
      <xdr:rowOff>66675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761999" y="561974"/>
          <a:ext cx="12820651" cy="8382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3600">
              <a:solidFill>
                <a:srgbClr val="0070C0"/>
              </a:solidFill>
              <a:latin typeface="Lucida Handwriting" panose="03010101010101010101" pitchFamily="66" charset="0"/>
            </a:rPr>
            <a:t>Ejemplo</a:t>
          </a:r>
          <a:r>
            <a:rPr lang="es-ES" sz="3600" baseline="0">
              <a:solidFill>
                <a:srgbClr val="0070C0"/>
              </a:solidFill>
              <a:latin typeface="Lucida Handwriting" panose="03010101010101010101" pitchFamily="66" charset="0"/>
            </a:rPr>
            <a:t> 1: Estadística Descriptiva Bidimensional</a:t>
          </a:r>
          <a:endParaRPr lang="es-ES" sz="3600">
            <a:solidFill>
              <a:srgbClr val="0070C0"/>
            </a:solidFill>
            <a:latin typeface="Lucida Handwriting" panose="03010101010101010101" pitchFamily="66" charset="0"/>
          </a:endParaRPr>
        </a:p>
      </xdr:txBody>
    </xdr:sp>
    <xdr:clientData/>
  </xdr:twoCellAnchor>
  <xdr:twoCellAnchor>
    <xdr:from>
      <xdr:col>1</xdr:col>
      <xdr:colOff>304801</xdr:colOff>
      <xdr:row>8</xdr:row>
      <xdr:rowOff>9525</xdr:rowOff>
    </xdr:from>
    <xdr:to>
      <xdr:col>9</xdr:col>
      <xdr:colOff>285751</xdr:colOff>
      <xdr:row>9</xdr:row>
      <xdr:rowOff>180975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066801" y="1533525"/>
          <a:ext cx="607695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200">
              <a:solidFill>
                <a:srgbClr val="FF0000"/>
              </a:solidFill>
              <a:latin typeface="Lucida Handwriting" panose="03010101010101010101" pitchFamily="66" charset="0"/>
            </a:rPr>
            <a:t>Sean</a:t>
          </a:r>
          <a:r>
            <a:rPr lang="es-ES" sz="1200" baseline="0">
              <a:solidFill>
                <a:srgbClr val="FF0000"/>
              </a:solidFill>
              <a:latin typeface="Lucida Handwriting" panose="03010101010101010101" pitchFamily="66" charset="0"/>
            </a:rPr>
            <a:t> X = "Peso de los estudiantes" e  Y = " Altura de los estudiantes"</a:t>
          </a:r>
          <a:endParaRPr lang="es-ES" sz="1200">
            <a:solidFill>
              <a:srgbClr val="FF0000"/>
            </a:solidFill>
            <a:latin typeface="Lucida Handwriting" panose="03010101010101010101" pitchFamily="66" charset="0"/>
          </a:endParaRPr>
        </a:p>
      </xdr:txBody>
    </xdr:sp>
    <xdr:clientData/>
  </xdr:twoCellAnchor>
  <xdr:twoCellAnchor>
    <xdr:from>
      <xdr:col>10</xdr:col>
      <xdr:colOff>167640</xdr:colOff>
      <xdr:row>49</xdr:row>
      <xdr:rowOff>144780</xdr:rowOff>
    </xdr:from>
    <xdr:to>
      <xdr:col>15</xdr:col>
      <xdr:colOff>777240</xdr:colOff>
      <xdr:row>60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F1CA75-5E47-4B81-A499-6C75D34CE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3:W63"/>
  <sheetViews>
    <sheetView tabSelected="1" topLeftCell="E40" workbookViewId="0">
      <selection activeCell="R56" sqref="R56"/>
    </sheetView>
  </sheetViews>
  <sheetFormatPr baseColWidth="10" defaultRowHeight="14.4" x14ac:dyDescent="0.3"/>
  <cols>
    <col min="3" max="3" width="14.6640625" customWidth="1"/>
    <col min="4" max="4" width="13.5546875" customWidth="1"/>
    <col min="6" max="6" width="13" customWidth="1"/>
    <col min="7" max="7" width="13.44140625" customWidth="1"/>
    <col min="16" max="16" width="16.109375" customWidth="1"/>
    <col min="18" max="18" width="15" customWidth="1"/>
    <col min="19" max="19" width="16.44140625" customWidth="1"/>
    <col min="20" max="21" width="13.5546875" customWidth="1"/>
    <col min="22" max="22" width="14" customWidth="1"/>
    <col min="23" max="23" width="16.6640625" customWidth="1"/>
    <col min="24" max="24" width="9.88671875" customWidth="1"/>
    <col min="25" max="26" width="7.5546875" customWidth="1"/>
    <col min="27" max="27" width="4.5546875" customWidth="1"/>
  </cols>
  <sheetData>
    <row r="13" spans="2:23" x14ac:dyDescent="0.3">
      <c r="B13" s="26" t="s">
        <v>61</v>
      </c>
      <c r="C13" s="26"/>
      <c r="D13" s="26"/>
      <c r="E13" s="26"/>
      <c r="F13" s="26"/>
      <c r="G13" s="26"/>
      <c r="H13" s="26"/>
      <c r="I13" s="26"/>
      <c r="J13" s="14"/>
      <c r="K13" s="1" t="s">
        <v>32</v>
      </c>
      <c r="L13" s="1" t="s">
        <v>34</v>
      </c>
      <c r="M13" s="1" t="s">
        <v>39</v>
      </c>
      <c r="N13" s="1" t="s">
        <v>36</v>
      </c>
      <c r="O13" s="14"/>
      <c r="Q13" s="27" t="s">
        <v>51</v>
      </c>
      <c r="R13" s="28"/>
      <c r="S13" s="28"/>
      <c r="T13" s="29"/>
    </row>
    <row r="14" spans="2:23" ht="16.2" x14ac:dyDescent="0.3">
      <c r="B14" s="13" t="s">
        <v>24</v>
      </c>
      <c r="C14" s="13" t="s">
        <v>4</v>
      </c>
      <c r="D14" s="13" t="s">
        <v>5</v>
      </c>
      <c r="E14" s="13" t="s">
        <v>6</v>
      </c>
      <c r="F14" s="13" t="s">
        <v>7</v>
      </c>
      <c r="G14" s="13" t="s">
        <v>8</v>
      </c>
      <c r="H14" s="13" t="s">
        <v>9</v>
      </c>
      <c r="I14" s="9" t="s">
        <v>25</v>
      </c>
      <c r="J14" s="14"/>
      <c r="K14" s="2">
        <v>48</v>
      </c>
      <c r="L14" s="2">
        <v>160</v>
      </c>
      <c r="M14" s="2">
        <v>3</v>
      </c>
      <c r="N14" s="2">
        <f>K14*L14*M14</f>
        <v>23040</v>
      </c>
      <c r="O14" s="14"/>
      <c r="Q14" s="1" t="s">
        <v>3</v>
      </c>
      <c r="R14" s="1" t="s">
        <v>0</v>
      </c>
      <c r="S14" s="1" t="s">
        <v>1</v>
      </c>
      <c r="T14" s="1" t="s">
        <v>2</v>
      </c>
      <c r="U14" s="14"/>
      <c r="V14" s="1" t="s">
        <v>10</v>
      </c>
      <c r="W14" s="1" t="s">
        <v>13</v>
      </c>
    </row>
    <row r="15" spans="2:23" x14ac:dyDescent="0.3">
      <c r="B15" s="1" t="s">
        <v>19</v>
      </c>
      <c r="C15" s="2">
        <v>3</v>
      </c>
      <c r="D15" s="2">
        <v>2</v>
      </c>
      <c r="E15" s="2">
        <v>2</v>
      </c>
      <c r="F15" s="2">
        <v>1</v>
      </c>
      <c r="G15" s="2">
        <v>0</v>
      </c>
      <c r="H15" s="10">
        <v>0</v>
      </c>
      <c r="I15" s="8">
        <f>SUM(C15:H15)</f>
        <v>8</v>
      </c>
      <c r="J15" s="18"/>
      <c r="K15" s="2">
        <v>48</v>
      </c>
      <c r="L15" s="2">
        <v>162</v>
      </c>
      <c r="M15" s="2">
        <v>2</v>
      </c>
      <c r="N15" s="2">
        <f t="shared" ref="N15:N43" si="0">K15*L15*M15</f>
        <v>15552</v>
      </c>
      <c r="O15" s="18"/>
      <c r="Q15" s="2" t="s">
        <v>4</v>
      </c>
      <c r="R15" s="2">
        <v>160</v>
      </c>
      <c r="S15" s="2">
        <v>1</v>
      </c>
      <c r="T15" s="3">
        <f t="shared" ref="T15:T20" si="1">S15/$S$21</f>
        <v>4.1666666666666664E-2</v>
      </c>
      <c r="U15" s="20"/>
      <c r="V15" s="2">
        <f>R15*S15</f>
        <v>160</v>
      </c>
      <c r="W15" s="2">
        <f>(R15^2)*S15</f>
        <v>25600</v>
      </c>
    </row>
    <row r="16" spans="2:23" x14ac:dyDescent="0.3">
      <c r="B16" s="1" t="s">
        <v>20</v>
      </c>
      <c r="C16" s="2">
        <v>2</v>
      </c>
      <c r="D16" s="2">
        <v>3</v>
      </c>
      <c r="E16" s="2">
        <v>4</v>
      </c>
      <c r="F16" s="2">
        <v>2</v>
      </c>
      <c r="G16" s="2">
        <v>2</v>
      </c>
      <c r="H16" s="10">
        <v>1</v>
      </c>
      <c r="I16" s="8">
        <f>SUM(C16:H16)</f>
        <v>14</v>
      </c>
      <c r="J16" s="18"/>
      <c r="K16" s="2">
        <v>48</v>
      </c>
      <c r="L16" s="2">
        <v>164</v>
      </c>
      <c r="M16" s="2">
        <v>2</v>
      </c>
      <c r="N16" s="2">
        <f t="shared" si="0"/>
        <v>15744</v>
      </c>
      <c r="O16" s="18"/>
      <c r="Q16" s="2" t="s">
        <v>5</v>
      </c>
      <c r="R16" s="2">
        <v>162</v>
      </c>
      <c r="S16" s="2">
        <v>3</v>
      </c>
      <c r="T16" s="3">
        <f t="shared" si="1"/>
        <v>0.125</v>
      </c>
      <c r="U16" s="20"/>
      <c r="V16" s="2">
        <f t="shared" ref="V16:V20" si="2">R16*S16</f>
        <v>486</v>
      </c>
      <c r="W16" s="2">
        <f t="shared" ref="W16:W20" si="3">(R16^2)*S16</f>
        <v>78732</v>
      </c>
    </row>
    <row r="17" spans="2:23" x14ac:dyDescent="0.3">
      <c r="B17" s="1" t="s">
        <v>21</v>
      </c>
      <c r="C17" s="2">
        <v>1</v>
      </c>
      <c r="D17" s="2">
        <v>3</v>
      </c>
      <c r="E17" s="2">
        <v>6</v>
      </c>
      <c r="F17" s="2">
        <v>8</v>
      </c>
      <c r="G17" s="2">
        <v>5</v>
      </c>
      <c r="H17" s="10">
        <v>1</v>
      </c>
      <c r="I17" s="8">
        <f>SUM(C17:H17)</f>
        <v>24</v>
      </c>
      <c r="J17" s="18"/>
      <c r="K17" s="2">
        <v>48</v>
      </c>
      <c r="L17" s="2">
        <v>166</v>
      </c>
      <c r="M17" s="2">
        <v>1</v>
      </c>
      <c r="N17" s="2">
        <f t="shared" si="0"/>
        <v>7968</v>
      </c>
      <c r="O17" s="18"/>
      <c r="Q17" s="2" t="s">
        <v>6</v>
      </c>
      <c r="R17" s="2">
        <v>164</v>
      </c>
      <c r="S17" s="2">
        <v>6</v>
      </c>
      <c r="T17" s="3">
        <f t="shared" si="1"/>
        <v>0.25</v>
      </c>
      <c r="U17" s="20"/>
      <c r="V17" s="2">
        <f t="shared" si="2"/>
        <v>984</v>
      </c>
      <c r="W17" s="2">
        <f t="shared" si="3"/>
        <v>161376</v>
      </c>
    </row>
    <row r="18" spans="2:23" x14ac:dyDescent="0.3">
      <c r="B18" s="1" t="s">
        <v>22</v>
      </c>
      <c r="C18" s="2">
        <v>0</v>
      </c>
      <c r="D18" s="2">
        <v>0</v>
      </c>
      <c r="E18" s="2">
        <v>1</v>
      </c>
      <c r="F18" s="2">
        <v>2</v>
      </c>
      <c r="G18" s="2">
        <v>8</v>
      </c>
      <c r="H18" s="10">
        <v>3</v>
      </c>
      <c r="I18" s="8">
        <f>SUM(C18:H18)</f>
        <v>14</v>
      </c>
      <c r="J18" s="18"/>
      <c r="K18" s="2">
        <v>48</v>
      </c>
      <c r="L18" s="2">
        <v>168</v>
      </c>
      <c r="M18" s="2">
        <v>0</v>
      </c>
      <c r="N18" s="2">
        <f t="shared" si="0"/>
        <v>0</v>
      </c>
      <c r="O18" s="18"/>
      <c r="Q18" s="2" t="s">
        <v>7</v>
      </c>
      <c r="R18" s="2">
        <v>166</v>
      </c>
      <c r="S18" s="2">
        <v>8</v>
      </c>
      <c r="T18" s="3">
        <f t="shared" si="1"/>
        <v>0.33333333333333331</v>
      </c>
      <c r="U18" s="20"/>
      <c r="V18" s="2">
        <f t="shared" si="2"/>
        <v>1328</v>
      </c>
      <c r="W18" s="2">
        <f t="shared" si="3"/>
        <v>220448</v>
      </c>
    </row>
    <row r="19" spans="2:23" x14ac:dyDescent="0.3">
      <c r="B19" s="1" t="s">
        <v>23</v>
      </c>
      <c r="C19" s="2">
        <v>0</v>
      </c>
      <c r="D19" s="2">
        <v>0</v>
      </c>
      <c r="E19" s="2">
        <v>0</v>
      </c>
      <c r="F19" s="2">
        <v>2</v>
      </c>
      <c r="G19" s="2">
        <v>4</v>
      </c>
      <c r="H19" s="10">
        <v>4</v>
      </c>
      <c r="I19" s="8">
        <f>SUM(C19:H19)</f>
        <v>10</v>
      </c>
      <c r="J19" s="18"/>
      <c r="K19" s="2">
        <v>48</v>
      </c>
      <c r="L19" s="2">
        <v>170</v>
      </c>
      <c r="M19" s="2">
        <v>0</v>
      </c>
      <c r="N19" s="2">
        <f t="shared" si="0"/>
        <v>0</v>
      </c>
      <c r="O19" s="18"/>
      <c r="Q19" s="2" t="s">
        <v>8</v>
      </c>
      <c r="R19" s="2">
        <v>168</v>
      </c>
      <c r="S19" s="2">
        <v>5</v>
      </c>
      <c r="T19" s="3">
        <f t="shared" si="1"/>
        <v>0.20833333333333334</v>
      </c>
      <c r="U19" s="20"/>
      <c r="V19" s="2">
        <f t="shared" si="2"/>
        <v>840</v>
      </c>
      <c r="W19" s="2">
        <f t="shared" si="3"/>
        <v>141120</v>
      </c>
    </row>
    <row r="20" spans="2:23" x14ac:dyDescent="0.3">
      <c r="B20" s="9" t="s">
        <v>26</v>
      </c>
      <c r="C20" s="2">
        <f t="shared" ref="C20" si="4">SUM(C15:C19)</f>
        <v>6</v>
      </c>
      <c r="D20" s="2">
        <f t="shared" ref="D20" si="5">SUM(D15:D19)</f>
        <v>8</v>
      </c>
      <c r="E20" s="2">
        <f t="shared" ref="E20" si="6">SUM(E15:E19)</f>
        <v>13</v>
      </c>
      <c r="F20" s="2">
        <f t="shared" ref="F20" si="7">SUM(F15:F19)</f>
        <v>15</v>
      </c>
      <c r="G20" s="2">
        <f t="shared" ref="G20" si="8">SUM(G15:G19)</f>
        <v>19</v>
      </c>
      <c r="H20" s="2">
        <f t="shared" ref="H20" si="9">SUM(H15:H19)</f>
        <v>9</v>
      </c>
      <c r="I20" s="8">
        <f t="shared" ref="I20" si="10">SUM(I15:I19)</f>
        <v>70</v>
      </c>
      <c r="J20" s="18"/>
      <c r="K20" s="2">
        <v>51</v>
      </c>
      <c r="L20" s="2">
        <v>160</v>
      </c>
      <c r="M20" s="2">
        <v>2</v>
      </c>
      <c r="N20" s="2">
        <f t="shared" si="0"/>
        <v>16320</v>
      </c>
      <c r="O20" s="18"/>
      <c r="Q20" s="2" t="s">
        <v>9</v>
      </c>
      <c r="R20" s="2">
        <v>170</v>
      </c>
      <c r="S20" s="2">
        <v>1</v>
      </c>
      <c r="T20" s="3">
        <f t="shared" si="1"/>
        <v>4.1666666666666664E-2</v>
      </c>
      <c r="U20" s="20"/>
      <c r="V20" s="2">
        <f t="shared" si="2"/>
        <v>170</v>
      </c>
      <c r="W20" s="2">
        <f t="shared" si="3"/>
        <v>28900</v>
      </c>
    </row>
    <row r="21" spans="2:23" x14ac:dyDescent="0.3">
      <c r="K21" s="2">
        <v>51</v>
      </c>
      <c r="L21" s="2">
        <v>162</v>
      </c>
      <c r="M21" s="2">
        <v>3</v>
      </c>
      <c r="N21" s="2">
        <f t="shared" si="0"/>
        <v>24786</v>
      </c>
      <c r="S21" s="2">
        <f>SUM(S15:S20)</f>
        <v>24</v>
      </c>
      <c r="T21" s="2">
        <f>SUM(T15:T20)</f>
        <v>1</v>
      </c>
      <c r="U21" s="21"/>
      <c r="V21" s="2">
        <f>SUM(V15:V20)</f>
        <v>3968</v>
      </c>
      <c r="W21" s="2">
        <f>SUM(W15:W20)</f>
        <v>656176</v>
      </c>
    </row>
    <row r="22" spans="2:23" x14ac:dyDescent="0.3">
      <c r="K22" s="2">
        <v>51</v>
      </c>
      <c r="L22" s="2">
        <v>164</v>
      </c>
      <c r="M22" s="2">
        <v>4</v>
      </c>
      <c r="N22" s="2">
        <f t="shared" si="0"/>
        <v>33456</v>
      </c>
    </row>
    <row r="23" spans="2:23" x14ac:dyDescent="0.3">
      <c r="K23" s="2">
        <v>51</v>
      </c>
      <c r="L23" s="2">
        <v>166</v>
      </c>
      <c r="M23" s="2">
        <v>2</v>
      </c>
      <c r="N23" s="2">
        <f t="shared" si="0"/>
        <v>16932</v>
      </c>
    </row>
    <row r="24" spans="2:23" x14ac:dyDescent="0.3">
      <c r="K24" s="2">
        <v>51</v>
      </c>
      <c r="L24" s="2">
        <v>168</v>
      </c>
      <c r="M24" s="2">
        <v>2</v>
      </c>
      <c r="N24" s="2">
        <f t="shared" si="0"/>
        <v>17136</v>
      </c>
    </row>
    <row r="25" spans="2:23" ht="17.25" customHeight="1" x14ac:dyDescent="0.3">
      <c r="C25" s="30" t="s">
        <v>46</v>
      </c>
      <c r="D25" s="30"/>
      <c r="E25" s="30"/>
      <c r="K25" s="2">
        <v>51</v>
      </c>
      <c r="L25" s="2">
        <v>170</v>
      </c>
      <c r="M25" s="2">
        <v>1</v>
      </c>
      <c r="N25" s="2">
        <f t="shared" si="0"/>
        <v>8670</v>
      </c>
      <c r="Q25" s="27" t="s">
        <v>53</v>
      </c>
      <c r="R25" s="28"/>
      <c r="S25" s="28"/>
      <c r="T25" s="29"/>
    </row>
    <row r="26" spans="2:23" ht="16.2" x14ac:dyDescent="0.3">
      <c r="C26" s="1" t="s">
        <v>32</v>
      </c>
      <c r="D26" s="1" t="s">
        <v>25</v>
      </c>
      <c r="E26" s="1" t="s">
        <v>47</v>
      </c>
      <c r="F26" s="14"/>
      <c r="G26" s="1" t="s">
        <v>33</v>
      </c>
      <c r="H26" s="1" t="s">
        <v>37</v>
      </c>
      <c r="K26" s="2">
        <v>54</v>
      </c>
      <c r="L26" s="2">
        <v>160</v>
      </c>
      <c r="M26" s="2">
        <v>1</v>
      </c>
      <c r="N26" s="2">
        <f t="shared" si="0"/>
        <v>8640</v>
      </c>
      <c r="Q26" s="1" t="s">
        <v>14</v>
      </c>
      <c r="R26" s="1" t="s">
        <v>14</v>
      </c>
      <c r="S26" s="1" t="s">
        <v>15</v>
      </c>
      <c r="T26" s="1" t="s">
        <v>16</v>
      </c>
      <c r="U26" s="14"/>
      <c r="V26" s="1" t="s">
        <v>17</v>
      </c>
      <c r="W26" s="1" t="s">
        <v>18</v>
      </c>
    </row>
    <row r="27" spans="2:23" x14ac:dyDescent="0.3">
      <c r="C27" s="2">
        <v>48</v>
      </c>
      <c r="D27" s="11">
        <v>8</v>
      </c>
      <c r="E27" s="17">
        <f>D27/$D$32</f>
        <v>0.11428571428571428</v>
      </c>
      <c r="F27" s="15"/>
      <c r="G27" s="2">
        <f>C27*D27</f>
        <v>384</v>
      </c>
      <c r="H27" s="2">
        <f>(C27^2)*D27</f>
        <v>18432</v>
      </c>
      <c r="K27" s="2">
        <v>54</v>
      </c>
      <c r="L27" s="2">
        <v>162</v>
      </c>
      <c r="M27" s="2">
        <v>3</v>
      </c>
      <c r="N27" s="2">
        <f t="shared" si="0"/>
        <v>26244</v>
      </c>
      <c r="Q27" s="5" t="s">
        <v>19</v>
      </c>
      <c r="R27" s="2">
        <v>48</v>
      </c>
      <c r="S27" s="2">
        <v>1</v>
      </c>
      <c r="T27" s="4">
        <f>S27/$S$32</f>
        <v>6.6666666666666666E-2</v>
      </c>
      <c r="U27" s="23"/>
      <c r="V27" s="2">
        <f>R27*S27</f>
        <v>48</v>
      </c>
      <c r="W27" s="2">
        <f>(R27^2)*S27</f>
        <v>2304</v>
      </c>
    </row>
    <row r="28" spans="2:23" x14ac:dyDescent="0.3">
      <c r="C28" s="2">
        <v>51</v>
      </c>
      <c r="D28" s="11">
        <v>14</v>
      </c>
      <c r="E28" s="17">
        <f t="shared" ref="E28:E31" si="11">D28/$D$32</f>
        <v>0.2</v>
      </c>
      <c r="F28" s="15"/>
      <c r="G28" s="2">
        <f>C28*D28</f>
        <v>714</v>
      </c>
      <c r="H28" s="2">
        <f>(C28^2)*D28</f>
        <v>36414</v>
      </c>
      <c r="K28" s="2">
        <v>54</v>
      </c>
      <c r="L28" s="2">
        <v>164</v>
      </c>
      <c r="M28" s="2">
        <v>6</v>
      </c>
      <c r="N28" s="2">
        <f t="shared" si="0"/>
        <v>53136</v>
      </c>
      <c r="Q28" s="5" t="s">
        <v>20</v>
      </c>
      <c r="R28" s="2">
        <v>51</v>
      </c>
      <c r="S28" s="2">
        <v>2</v>
      </c>
      <c r="T28" s="4">
        <f>S28/$S$32</f>
        <v>0.13333333333333333</v>
      </c>
      <c r="U28" s="23"/>
      <c r="V28" s="2">
        <f t="shared" ref="V28:V31" si="12">R28*S28</f>
        <v>102</v>
      </c>
      <c r="W28" s="2">
        <f t="shared" ref="W28:W31" si="13">(R28^2)*S28</f>
        <v>5202</v>
      </c>
    </row>
    <row r="29" spans="2:23" x14ac:dyDescent="0.3">
      <c r="C29" s="2">
        <v>54</v>
      </c>
      <c r="D29" s="11">
        <v>24</v>
      </c>
      <c r="E29" s="17">
        <f t="shared" si="11"/>
        <v>0.34285714285714286</v>
      </c>
      <c r="F29" s="15"/>
      <c r="G29" s="2">
        <f>C29*D29</f>
        <v>1296</v>
      </c>
      <c r="H29" s="2">
        <f>(C29^2)*D29</f>
        <v>69984</v>
      </c>
      <c r="K29" s="2">
        <v>54</v>
      </c>
      <c r="L29" s="2">
        <v>166</v>
      </c>
      <c r="M29" s="2">
        <v>8</v>
      </c>
      <c r="N29" s="2">
        <f t="shared" si="0"/>
        <v>71712</v>
      </c>
      <c r="Q29" s="5" t="s">
        <v>21</v>
      </c>
      <c r="R29" s="2">
        <v>54</v>
      </c>
      <c r="S29" s="2">
        <v>8</v>
      </c>
      <c r="T29" s="4">
        <f>S29/$S$32</f>
        <v>0.53333333333333333</v>
      </c>
      <c r="U29" s="23"/>
      <c r="V29" s="2">
        <f t="shared" si="12"/>
        <v>432</v>
      </c>
      <c r="W29" s="2">
        <f t="shared" si="13"/>
        <v>23328</v>
      </c>
    </row>
    <row r="30" spans="2:23" ht="14.25" customHeight="1" x14ac:dyDescent="0.3">
      <c r="C30" s="2">
        <v>57</v>
      </c>
      <c r="D30" s="11">
        <v>14</v>
      </c>
      <c r="E30" s="17">
        <f t="shared" si="11"/>
        <v>0.2</v>
      </c>
      <c r="F30" s="15"/>
      <c r="G30" s="2">
        <f>C30*D30</f>
        <v>798</v>
      </c>
      <c r="H30" s="2">
        <f>(C30^2)*D30</f>
        <v>45486</v>
      </c>
      <c r="K30" s="2">
        <v>54</v>
      </c>
      <c r="L30" s="2">
        <v>168</v>
      </c>
      <c r="M30" s="2">
        <v>5</v>
      </c>
      <c r="N30" s="2">
        <f t="shared" si="0"/>
        <v>45360</v>
      </c>
      <c r="Q30" s="5" t="s">
        <v>22</v>
      </c>
      <c r="R30" s="2">
        <v>57</v>
      </c>
      <c r="S30" s="2">
        <v>2</v>
      </c>
      <c r="T30" s="4">
        <f>S30/$S$32</f>
        <v>0.13333333333333333</v>
      </c>
      <c r="U30" s="23"/>
      <c r="V30" s="2">
        <f t="shared" si="12"/>
        <v>114</v>
      </c>
      <c r="W30" s="2">
        <f t="shared" si="13"/>
        <v>6498</v>
      </c>
    </row>
    <row r="31" spans="2:23" x14ac:dyDescent="0.3">
      <c r="C31" s="2">
        <v>60</v>
      </c>
      <c r="D31" s="11">
        <v>10</v>
      </c>
      <c r="E31" s="17">
        <f t="shared" si="11"/>
        <v>0.14285714285714285</v>
      </c>
      <c r="F31" s="15"/>
      <c r="G31" s="2">
        <f>C31*D31</f>
        <v>600</v>
      </c>
      <c r="H31" s="2">
        <f>(C31^2)*D31</f>
        <v>36000</v>
      </c>
      <c r="K31" s="2">
        <v>54</v>
      </c>
      <c r="L31" s="2">
        <v>170</v>
      </c>
      <c r="M31" s="2">
        <v>1</v>
      </c>
      <c r="N31" s="2">
        <f t="shared" si="0"/>
        <v>9180</v>
      </c>
      <c r="Q31" s="5" t="s">
        <v>52</v>
      </c>
      <c r="R31" s="2">
        <v>60</v>
      </c>
      <c r="S31" s="2">
        <v>2</v>
      </c>
      <c r="T31" s="4">
        <f>S31/$S$32</f>
        <v>0.13333333333333333</v>
      </c>
      <c r="U31" s="23"/>
      <c r="V31" s="2">
        <f t="shared" si="12"/>
        <v>120</v>
      </c>
      <c r="W31" s="2">
        <f t="shared" si="13"/>
        <v>7200</v>
      </c>
    </row>
    <row r="32" spans="2:23" x14ac:dyDescent="0.3">
      <c r="D32" s="12">
        <f>SUM(D27:D31)</f>
        <v>70</v>
      </c>
      <c r="E32" s="12">
        <f>SUM(E27:E31)</f>
        <v>1</v>
      </c>
      <c r="F32" s="16"/>
      <c r="G32" s="2">
        <f>SUM(G27:G31)</f>
        <v>3792</v>
      </c>
      <c r="H32" s="2">
        <f>SUM(H27:H31)</f>
        <v>206316</v>
      </c>
      <c r="K32" s="2">
        <v>57</v>
      </c>
      <c r="L32" s="2">
        <v>160</v>
      </c>
      <c r="M32" s="2">
        <v>0</v>
      </c>
      <c r="N32" s="2">
        <f t="shared" si="0"/>
        <v>0</v>
      </c>
      <c r="S32" s="2">
        <f>SUM(S27:S31)</f>
        <v>15</v>
      </c>
      <c r="T32" s="6">
        <f>SUM(T27:T31)</f>
        <v>1</v>
      </c>
      <c r="U32" s="24"/>
      <c r="V32" s="2">
        <f>SUM(V27:V31)</f>
        <v>816</v>
      </c>
      <c r="W32" s="2">
        <f>SUM(W27:W31)</f>
        <v>44532</v>
      </c>
    </row>
    <row r="33" spans="3:23" x14ac:dyDescent="0.3">
      <c r="K33" s="2">
        <v>57</v>
      </c>
      <c r="L33" s="2">
        <v>162</v>
      </c>
      <c r="M33" s="2">
        <v>0</v>
      </c>
      <c r="N33" s="2">
        <f t="shared" si="0"/>
        <v>0</v>
      </c>
    </row>
    <row r="34" spans="3:23" x14ac:dyDescent="0.3">
      <c r="K34" s="2">
        <v>57</v>
      </c>
      <c r="L34" s="2">
        <v>164</v>
      </c>
      <c r="M34" s="2">
        <v>1</v>
      </c>
      <c r="N34" s="2">
        <f t="shared" si="0"/>
        <v>9348</v>
      </c>
    </row>
    <row r="35" spans="3:23" x14ac:dyDescent="0.3">
      <c r="K35" s="2">
        <v>57</v>
      </c>
      <c r="L35" s="2">
        <v>166</v>
      </c>
      <c r="M35" s="2">
        <v>2</v>
      </c>
      <c r="N35" s="2">
        <f t="shared" si="0"/>
        <v>18924</v>
      </c>
    </row>
    <row r="36" spans="3:23" ht="45.75" customHeight="1" x14ac:dyDescent="0.3">
      <c r="K36" s="2">
        <v>57</v>
      </c>
      <c r="L36" s="2">
        <v>168</v>
      </c>
      <c r="M36" s="2">
        <v>8</v>
      </c>
      <c r="N36" s="2">
        <f t="shared" si="0"/>
        <v>76608</v>
      </c>
      <c r="R36" s="7" t="s">
        <v>11</v>
      </c>
      <c r="S36" s="7" t="s">
        <v>12</v>
      </c>
      <c r="U36" s="7" t="s">
        <v>54</v>
      </c>
      <c r="V36" s="7" t="s">
        <v>55</v>
      </c>
    </row>
    <row r="37" spans="3:23" ht="14.25" customHeight="1" x14ac:dyDescent="0.3">
      <c r="C37" s="31" t="s">
        <v>60</v>
      </c>
      <c r="D37" s="31"/>
      <c r="E37" s="31"/>
      <c r="K37" s="2">
        <v>57</v>
      </c>
      <c r="L37" s="2">
        <v>170</v>
      </c>
      <c r="M37" s="2">
        <v>3</v>
      </c>
      <c r="N37" s="2">
        <f t="shared" si="0"/>
        <v>29070</v>
      </c>
      <c r="R37" s="17">
        <f>V21/S21</f>
        <v>165.33333333333334</v>
      </c>
      <c r="S37" s="17">
        <f>(W21/S21)-(R37^2)</f>
        <v>5.5555555555547471</v>
      </c>
      <c r="U37" s="17">
        <f>V32/S32</f>
        <v>54.4</v>
      </c>
      <c r="V37" s="17">
        <f>(W32/S32)-(U37^2)</f>
        <v>9.4400000000005093</v>
      </c>
    </row>
    <row r="38" spans="3:23" ht="15" customHeight="1" x14ac:dyDescent="0.3">
      <c r="C38" s="1" t="s">
        <v>34</v>
      </c>
      <c r="D38" s="1" t="s">
        <v>26</v>
      </c>
      <c r="E38" s="1" t="s">
        <v>45</v>
      </c>
      <c r="F38" s="14"/>
      <c r="G38" s="1" t="s">
        <v>35</v>
      </c>
      <c r="H38" s="9" t="s">
        <v>38</v>
      </c>
      <c r="K38" s="2">
        <v>60</v>
      </c>
      <c r="L38" s="2">
        <v>160</v>
      </c>
      <c r="M38" s="2">
        <v>0</v>
      </c>
      <c r="N38" s="2">
        <f t="shared" si="0"/>
        <v>0</v>
      </c>
    </row>
    <row r="39" spans="3:23" x14ac:dyDescent="0.3">
      <c r="C39" s="2">
        <v>160</v>
      </c>
      <c r="D39" s="11">
        <v>6</v>
      </c>
      <c r="E39" s="17">
        <f>D39/$D$45</f>
        <v>8.5714285714285715E-2</v>
      </c>
      <c r="F39" s="18"/>
      <c r="G39" s="2">
        <f t="shared" ref="G39:G44" si="14">C39*D39</f>
        <v>960</v>
      </c>
      <c r="H39" s="2">
        <f t="shared" ref="H39:H44" si="15">(C39^2)*D39</f>
        <v>153600</v>
      </c>
      <c r="K39" s="2">
        <v>60</v>
      </c>
      <c r="L39" s="2">
        <v>162</v>
      </c>
      <c r="M39" s="2">
        <v>0</v>
      </c>
      <c r="N39" s="2">
        <f t="shared" si="0"/>
        <v>0</v>
      </c>
    </row>
    <row r="40" spans="3:23" x14ac:dyDescent="0.3">
      <c r="C40" s="2">
        <v>162</v>
      </c>
      <c r="D40" s="11">
        <v>8</v>
      </c>
      <c r="E40" s="17">
        <f t="shared" ref="E40:E44" si="16">D40/$D$45</f>
        <v>0.11428571428571428</v>
      </c>
      <c r="F40" s="18"/>
      <c r="G40" s="2">
        <f t="shared" si="14"/>
        <v>1296</v>
      </c>
      <c r="H40" s="2">
        <f t="shared" si="15"/>
        <v>209952</v>
      </c>
      <c r="K40" s="2">
        <v>60</v>
      </c>
      <c r="L40" s="2">
        <v>164</v>
      </c>
      <c r="M40" s="2">
        <v>0</v>
      </c>
      <c r="N40" s="2">
        <f t="shared" si="0"/>
        <v>0</v>
      </c>
    </row>
    <row r="41" spans="3:23" x14ac:dyDescent="0.3">
      <c r="C41" s="2">
        <v>164</v>
      </c>
      <c r="D41" s="11">
        <v>13</v>
      </c>
      <c r="E41" s="17">
        <f t="shared" si="16"/>
        <v>0.18571428571428572</v>
      </c>
      <c r="F41" s="18"/>
      <c r="G41" s="2">
        <f t="shared" si="14"/>
        <v>2132</v>
      </c>
      <c r="H41" s="2">
        <f t="shared" si="15"/>
        <v>349648</v>
      </c>
      <c r="K41" s="2">
        <v>60</v>
      </c>
      <c r="L41" s="2">
        <v>166</v>
      </c>
      <c r="M41" s="2">
        <v>2</v>
      </c>
      <c r="N41" s="2">
        <f t="shared" si="0"/>
        <v>19920</v>
      </c>
    </row>
    <row r="42" spans="3:23" x14ac:dyDescent="0.3">
      <c r="C42" s="2">
        <v>166</v>
      </c>
      <c r="D42" s="11">
        <v>15</v>
      </c>
      <c r="E42" s="17">
        <f t="shared" si="16"/>
        <v>0.21428571428571427</v>
      </c>
      <c r="F42" s="18"/>
      <c r="G42" s="2">
        <f t="shared" si="14"/>
        <v>2490</v>
      </c>
      <c r="H42" s="2">
        <f t="shared" si="15"/>
        <v>413340</v>
      </c>
      <c r="K42" s="2">
        <v>60</v>
      </c>
      <c r="L42" s="2">
        <v>168</v>
      </c>
      <c r="M42" s="2">
        <v>4</v>
      </c>
      <c r="N42" s="2">
        <f t="shared" si="0"/>
        <v>40320</v>
      </c>
    </row>
    <row r="43" spans="3:23" x14ac:dyDescent="0.3">
      <c r="C43" s="2">
        <v>168</v>
      </c>
      <c r="D43" s="11">
        <v>19</v>
      </c>
      <c r="E43" s="17">
        <f t="shared" si="16"/>
        <v>0.27142857142857141</v>
      </c>
      <c r="F43" s="18"/>
      <c r="G43" s="2">
        <f t="shared" si="14"/>
        <v>3192</v>
      </c>
      <c r="H43" s="2">
        <f t="shared" si="15"/>
        <v>536256</v>
      </c>
      <c r="K43" s="2">
        <v>60</v>
      </c>
      <c r="L43" s="2">
        <v>170</v>
      </c>
      <c r="M43" s="2">
        <v>4</v>
      </c>
      <c r="N43" s="2">
        <f t="shared" si="0"/>
        <v>40800</v>
      </c>
      <c r="Q43" s="13" t="s">
        <v>24</v>
      </c>
      <c r="R43" s="13">
        <v>160</v>
      </c>
      <c r="S43" s="13">
        <v>162</v>
      </c>
      <c r="T43" s="13">
        <v>164</v>
      </c>
      <c r="U43" s="13">
        <v>166</v>
      </c>
      <c r="V43" s="13">
        <v>168</v>
      </c>
      <c r="W43" s="13">
        <v>170</v>
      </c>
    </row>
    <row r="44" spans="3:23" x14ac:dyDescent="0.3">
      <c r="C44" s="2">
        <v>170</v>
      </c>
      <c r="D44" s="11">
        <v>9</v>
      </c>
      <c r="E44" s="17">
        <f t="shared" si="16"/>
        <v>0.12857142857142856</v>
      </c>
      <c r="F44" s="18"/>
      <c r="G44" s="2">
        <f t="shared" si="14"/>
        <v>1530</v>
      </c>
      <c r="H44" s="2">
        <f t="shared" si="15"/>
        <v>260100</v>
      </c>
      <c r="M44" s="8">
        <f>SUM(M14:M43)</f>
        <v>70</v>
      </c>
      <c r="N44" s="2">
        <f>SUM(N14:N43)</f>
        <v>628866</v>
      </c>
      <c r="Q44" s="25">
        <v>48</v>
      </c>
      <c r="R44" s="2">
        <v>3</v>
      </c>
      <c r="S44" s="2">
        <v>2</v>
      </c>
      <c r="T44" s="2">
        <v>2</v>
      </c>
      <c r="U44" s="2">
        <v>1</v>
      </c>
      <c r="V44" s="2">
        <v>0</v>
      </c>
      <c r="W44" s="10">
        <v>0</v>
      </c>
    </row>
    <row r="45" spans="3:23" x14ac:dyDescent="0.3">
      <c r="D45" s="12">
        <f>SUM(D39:D44)</f>
        <v>70</v>
      </c>
      <c r="E45" s="19">
        <f>SUM(E39:E44)</f>
        <v>1</v>
      </c>
      <c r="F45" s="16"/>
      <c r="G45" s="2">
        <f>SUM(G39:G44)</f>
        <v>11600</v>
      </c>
      <c r="H45" s="2">
        <f>SUM(H39:H44)</f>
        <v>1922896</v>
      </c>
      <c r="Q45" s="25">
        <v>51</v>
      </c>
      <c r="R45" s="2">
        <v>2</v>
      </c>
      <c r="S45" s="2">
        <v>3</v>
      </c>
      <c r="T45" s="2">
        <v>4</v>
      </c>
      <c r="U45" s="2">
        <v>2</v>
      </c>
      <c r="V45" s="2">
        <v>2</v>
      </c>
      <c r="W45" s="10">
        <v>1</v>
      </c>
    </row>
    <row r="46" spans="3:23" x14ac:dyDescent="0.3">
      <c r="Q46" s="25">
        <v>54</v>
      </c>
      <c r="R46" s="2">
        <v>1</v>
      </c>
      <c r="S46" s="2">
        <v>3</v>
      </c>
      <c r="T46" s="2">
        <v>6</v>
      </c>
      <c r="U46" s="2">
        <v>8</v>
      </c>
      <c r="V46" s="2">
        <v>5</v>
      </c>
      <c r="W46" s="10">
        <v>1</v>
      </c>
    </row>
    <row r="47" spans="3:23" x14ac:dyDescent="0.3">
      <c r="Q47" s="25">
        <v>57</v>
      </c>
      <c r="R47" s="2">
        <v>0</v>
      </c>
      <c r="S47" s="2">
        <v>0</v>
      </c>
      <c r="T47" s="2">
        <v>1</v>
      </c>
      <c r="U47" s="2">
        <v>2</v>
      </c>
      <c r="V47" s="2">
        <v>8</v>
      </c>
      <c r="W47" s="10">
        <v>3</v>
      </c>
    </row>
    <row r="48" spans="3:23" x14ac:dyDescent="0.3">
      <c r="Q48" s="25">
        <v>60</v>
      </c>
      <c r="R48" s="2">
        <v>0</v>
      </c>
      <c r="S48" s="2">
        <v>0</v>
      </c>
      <c r="T48" s="2">
        <v>0</v>
      </c>
      <c r="U48" s="2">
        <v>2</v>
      </c>
      <c r="V48" s="2">
        <v>4</v>
      </c>
      <c r="W48" s="10">
        <v>4</v>
      </c>
    </row>
    <row r="50" spans="3:21" x14ac:dyDescent="0.3">
      <c r="C50" s="26" t="s">
        <v>48</v>
      </c>
      <c r="D50" s="26"/>
      <c r="E50" s="26"/>
      <c r="F50" s="26"/>
      <c r="G50" s="26"/>
    </row>
    <row r="51" spans="3:21" ht="28.8" x14ac:dyDescent="0.3">
      <c r="C51" s="7" t="s">
        <v>57</v>
      </c>
      <c r="D51" s="7" t="s">
        <v>56</v>
      </c>
      <c r="E51" s="7"/>
      <c r="F51" s="7"/>
      <c r="G51" s="7"/>
    </row>
    <row r="52" spans="3:21" ht="31.5" customHeight="1" x14ac:dyDescent="0.3">
      <c r="C52" s="1" t="s">
        <v>27</v>
      </c>
      <c r="D52" s="1" t="s">
        <v>28</v>
      </c>
      <c r="E52" s="1" t="s">
        <v>29</v>
      </c>
      <c r="F52" s="1" t="s">
        <v>30</v>
      </c>
      <c r="G52" s="1" t="s">
        <v>31</v>
      </c>
    </row>
    <row r="53" spans="3:21" x14ac:dyDescent="0.3">
      <c r="C53" s="4">
        <f>G32/D32</f>
        <v>54.171428571428571</v>
      </c>
      <c r="D53" s="4">
        <f>G45/D45</f>
        <v>165.71428571428572</v>
      </c>
      <c r="E53" s="4">
        <f>N44/M44</f>
        <v>8983.7999999999993</v>
      </c>
      <c r="F53" s="2">
        <f>H32/D32</f>
        <v>2947.3714285714286</v>
      </c>
      <c r="G53" s="2">
        <f>H45/D45</f>
        <v>27469.942857142858</v>
      </c>
    </row>
    <row r="54" spans="3:21" x14ac:dyDescent="0.3">
      <c r="C54" s="23"/>
      <c r="D54" s="23"/>
      <c r="E54" s="23"/>
      <c r="F54" s="21"/>
      <c r="G54" s="21"/>
    </row>
    <row r="55" spans="3:21" x14ac:dyDescent="0.3">
      <c r="C55" s="23"/>
      <c r="D55" s="23"/>
      <c r="E55" s="23"/>
      <c r="F55" s="21"/>
      <c r="G55" s="21"/>
    </row>
    <row r="56" spans="3:21" x14ac:dyDescent="0.3">
      <c r="U56" s="14"/>
    </row>
    <row r="57" spans="3:21" x14ac:dyDescent="0.3">
      <c r="U57" s="21"/>
    </row>
    <row r="58" spans="3:21" ht="15.75" customHeight="1" x14ac:dyDescent="0.3">
      <c r="C58" s="26" t="s">
        <v>50</v>
      </c>
      <c r="D58" s="26"/>
      <c r="E58" s="26"/>
      <c r="F58" s="26"/>
      <c r="G58" s="26"/>
      <c r="U58" s="21"/>
    </row>
    <row r="59" spans="3:21" ht="28.8" x14ac:dyDescent="0.3">
      <c r="C59" s="1"/>
      <c r="D59" s="1"/>
      <c r="E59" s="7" t="s">
        <v>49</v>
      </c>
      <c r="F59" s="7" t="s">
        <v>58</v>
      </c>
      <c r="G59" s="7" t="s">
        <v>59</v>
      </c>
      <c r="U59" s="21"/>
    </row>
    <row r="60" spans="3:21" ht="30.75" customHeight="1" x14ac:dyDescent="0.3">
      <c r="C60" s="1" t="s">
        <v>40</v>
      </c>
      <c r="D60" s="1" t="s">
        <v>41</v>
      </c>
      <c r="E60" s="1" t="s">
        <v>42</v>
      </c>
      <c r="F60" s="1" t="s">
        <v>43</v>
      </c>
      <c r="G60" s="1" t="s">
        <v>44</v>
      </c>
      <c r="U60" s="21"/>
    </row>
    <row r="61" spans="3:21" x14ac:dyDescent="0.3">
      <c r="C61" s="4">
        <v>0</v>
      </c>
      <c r="D61" s="4">
        <v>0</v>
      </c>
      <c r="E61" s="2">
        <f>E53-(C53*D53)</f>
        <v>6.8204081632648013</v>
      </c>
      <c r="F61" s="4">
        <f>F53-(C53^2)</f>
        <v>12.82775510204101</v>
      </c>
      <c r="G61" s="4">
        <f>G53-(D53^2)</f>
        <v>8.718367346937157</v>
      </c>
      <c r="U61" s="21"/>
    </row>
    <row r="62" spans="3:21" x14ac:dyDescent="0.3">
      <c r="U62" s="21"/>
    </row>
    <row r="63" spans="3:21" x14ac:dyDescent="0.3">
      <c r="U63" s="22"/>
    </row>
  </sheetData>
  <mergeCells count="7">
    <mergeCell ref="C50:G50"/>
    <mergeCell ref="C58:G58"/>
    <mergeCell ref="Q13:T13"/>
    <mergeCell ref="Q25:T25"/>
    <mergeCell ref="B13:I13"/>
    <mergeCell ref="C25:E25"/>
    <mergeCell ref="C37:E37"/>
  </mergeCells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Ramos</dc:creator>
  <cp:lastModifiedBy>Carmen Elvira Ramos Domínguez</cp:lastModifiedBy>
  <cp:lastPrinted>2020-03-04T10:09:40Z</cp:lastPrinted>
  <dcterms:created xsi:type="dcterms:W3CDTF">2020-03-04T09:52:47Z</dcterms:created>
  <dcterms:modified xsi:type="dcterms:W3CDTF">2020-10-22T09:11:59Z</dcterms:modified>
</cp:coreProperties>
</file>